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M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Catalogo" sheetId="3" state="visible" r:id="rId3"/>
    <sheet xmlns:r="http://schemas.openxmlformats.org/officeDocument/2006/relationships" name="Navios" sheetId="4" state="visible" r:id="rId4"/>
    <sheet xmlns:r="http://schemas.openxmlformats.org/officeDocument/2006/relationships" name="Pedidos" sheetId="5" state="visible" r:id="rId5"/>
    <sheet xmlns:r="http://schemas.openxmlformats.org/officeDocument/2006/relationships" name="Capitaes" sheetId="6" state="visible" r:id="rId6"/>
    <sheet xmlns:r="http://schemas.openxmlformats.org/officeDocument/2006/relationships" name="Caix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yyyy-mm-dd h:mm:ss"/>
    <numFmt numFmtId="166" formatCode="DD/MM/YYYY HH:MM"/>
    <numFmt numFmtId="167" formatCode="DD/MM HH:MM"/>
    <numFmt numFmtId="168" formatCode="$#,##0.00;($#,##0.00)"/>
    <numFmt numFmtId="169" formatCode="#,##0;(#,##0)"/>
  </numFmts>
  <fonts count="8">
    <font>
      <name val="Calibri"/>
      <family val="2"/>
      <color theme="1"/>
      <sz val="11"/>
      <scheme val="minor"/>
    </font>
    <font>
      <name val="Arial"/>
      <b val="1"/>
      <color rgb="000B222E"/>
      <sz val="14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0B222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9D1D6"/>
      </left>
      <right style="thin">
        <color rgb="00C9D1D6"/>
      </right>
      <top style="thin">
        <color rgb="00C9D1D6"/>
      </top>
      <bottom style="thin">
        <color rgb="00C9D1D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4" fontId="5" fillId="0" borderId="0" pivotButton="0" quotePrefix="0" xfId="0"/>
    <xf numFmtId="0" fontId="6" fillId="2" borderId="1" pivotButton="0" quotePrefix="0" xfId="0"/>
    <xf numFmtId="2" fontId="4" fillId="3" borderId="1" pivotButton="0" quotePrefix="0" xfId="0"/>
    <xf numFmtId="0" fontId="7" fillId="0" borderId="0" pivotButton="0" quotePrefix="0" xfId="0"/>
    <xf numFmtId="9" fontId="4" fillId="3" borderId="1" pivotButton="0" quotePrefix="0" xfId="0"/>
    <xf numFmtId="1" fontId="4" fillId="3" borderId="1" pivotButton="0" quotePrefix="0" xfId="0"/>
    <xf numFmtId="0" fontId="3" fillId="0" borderId="1" pivotButton="0" quotePrefix="0" xfId="0"/>
    <xf numFmtId="164" fontId="4" fillId="0" borderId="1" pivotButton="0" quotePrefix="0" xfId="0"/>
    <xf numFmtId="9" fontId="5" fillId="0" borderId="1" pivotButton="0" quotePrefix="0" xfId="0"/>
    <xf numFmtId="3" fontId="5" fillId="0" borderId="1" pivotButton="0" quotePrefix="0" xfId="0"/>
    <xf numFmtId="0" fontId="4" fillId="0" borderId="1" pivotButton="0" quotePrefix="0" xfId="0"/>
    <xf numFmtId="166" fontId="4" fillId="0" borderId="1" pivotButton="0" quotePrefix="0" xfId="0"/>
    <xf numFmtId="167" fontId="5" fillId="0" borderId="1" pivotButton="0" quotePrefix="0" xfId="0"/>
    <xf numFmtId="164" fontId="5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168" fontId="4" fillId="0" borderId="1" pivotButton="0" quotePrefix="0" xfId="0"/>
    <xf numFmtId="169" fontId="5" fillId="0" borderId="1" pivotButton="0" quotePrefix="0" xfId="0"/>
    <xf numFmtId="168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42" customWidth="1" min="3" max="3"/>
  </cols>
  <sheetData>
    <row r="2">
      <c r="B2" s="1" t="inlineStr">
        <is>
          <t>MARINERS SUPPLY — OPERAÇÃO FASE 0 (MVP WHATSAPP)</t>
        </is>
      </c>
    </row>
    <row r="4">
      <c r="B4" s="2" t="inlineStr">
        <is>
          <t>Como usar</t>
        </is>
      </c>
      <c r="C4" s="3" t="inlineStr"/>
    </row>
    <row r="5">
      <c r="B5" s="3" t="inlineStr">
        <is>
          <t>1. Config: ajuste câmbio e percentuais (células amarelas).</t>
        </is>
      </c>
      <c r="C5" s="3" t="inlineStr"/>
    </row>
    <row r="6">
      <c r="B6" s="3" t="inlineStr">
        <is>
          <t>2. Navios: lance o line-up da semana (ETA vem da agência parceira).</t>
        </is>
      </c>
      <c r="C6" s="3" t="inlineStr"/>
    </row>
    <row r="7">
      <c r="B7" s="3" t="inlineStr">
        <is>
          <t>3. Pedidos: 1 linha por pedido; depósito e saldo calculam sozinhos.</t>
        </is>
      </c>
      <c r="C7" s="3" t="inlineStr"/>
    </row>
    <row r="8">
      <c r="B8" s="3" t="inlineStr">
        <is>
          <t>4. Capitães: cadastre o código de cada boné; indicações somam sozinhas.</t>
        </is>
      </c>
      <c r="C8" s="3" t="inlineStr"/>
    </row>
    <row r="9">
      <c r="B9" s="3" t="inlineStr">
        <is>
          <t>5. Caixa: lance entradas e saídas; saldo acumula sozinho.</t>
        </is>
      </c>
      <c r="C9" s="3" t="inlineStr"/>
    </row>
    <row r="10">
      <c r="B10" s="3" t="inlineStr"/>
      <c r="C10" s="3" t="inlineStr"/>
    </row>
    <row r="11">
      <c r="B11" s="2" t="inlineStr">
        <is>
          <t>Legenda</t>
        </is>
      </c>
      <c r="C11" s="3" t="inlineStr"/>
    </row>
    <row r="12">
      <c r="B12" s="4" t="inlineStr">
        <is>
          <t>Azul = você digita (input)</t>
        </is>
      </c>
      <c r="C12" s="3" t="inlineStr">
        <is>
          <t>Preto = fórmula, não mexer</t>
        </is>
      </c>
    </row>
    <row r="13">
      <c r="B13" s="3" t="inlineStr">
        <is>
          <t>Amarelo = premissa-chave (Config)</t>
        </is>
      </c>
      <c r="C13" s="3" t="inlineStr">
        <is>
          <t>Linha 2 de cada aba = exemplo real</t>
        </is>
      </c>
    </row>
    <row r="14">
      <c r="B14" s="3" t="inlineStr"/>
      <c r="C14" s="3" t="inlineStr"/>
    </row>
    <row r="15">
      <c r="B15" s="2" t="inlineStr">
        <is>
          <t>Resumo automático</t>
        </is>
      </c>
      <c r="C15" s="3" t="inlineStr"/>
    </row>
    <row r="16">
      <c r="B16" s="3" t="inlineStr">
        <is>
          <t>Pedidos registrados</t>
        </is>
      </c>
      <c r="C16" s="5">
        <f>COUNTA(Pedidos!A:A)-1</f>
        <v/>
      </c>
    </row>
    <row r="17">
      <c r="B17" s="3" t="inlineStr">
        <is>
          <t>GMV total (USD)</t>
        </is>
      </c>
      <c r="C17" s="5">
        <f>SUM(Pedidos!G:G)</f>
        <v/>
      </c>
    </row>
    <row r="18">
      <c r="B18" s="3" t="inlineStr">
        <is>
          <t>Depósitos recebidos (USD)</t>
        </is>
      </c>
      <c r="C18" s="5">
        <f>SUMIFS(Pedidos!H:H,Pedidos!K:K,"S")</f>
        <v/>
      </c>
    </row>
    <row r="19">
      <c r="B19" s="3" t="inlineStr">
        <is>
          <t>Saldo a receber na prancha (USD)</t>
        </is>
      </c>
      <c r="C19" s="5">
        <f>SUMIFS(Pedidos!I:I,Pedidos!L:L,"N")</f>
        <v/>
      </c>
    </row>
    <row r="20">
      <c r="B20" s="3" t="inlineStr">
        <is>
          <t>Crédito de capitães em aberto (USD)</t>
        </is>
      </c>
      <c r="C20" s="5">
        <f>SUM(Capitaes!H:H)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52" customWidth="1" min="3" max="3"/>
  </cols>
  <sheetData>
    <row r="1">
      <c r="A1" s="6" t="inlineStr">
        <is>
          <t>Premissa</t>
        </is>
      </c>
      <c r="B1" s="6" t="inlineStr">
        <is>
          <t>Valor</t>
        </is>
      </c>
      <c r="C1" s="6" t="inlineStr">
        <is>
          <t>Observação</t>
        </is>
      </c>
    </row>
    <row r="2">
      <c r="A2" s="3" t="inlineStr">
        <is>
          <t>Câmbio USD → BRL (referência)</t>
        </is>
      </c>
      <c r="B2" s="7" t="n">
        <v>5.3</v>
      </c>
      <c r="C2" s="8" t="inlineStr">
        <is>
          <t>Atualizar 1x/semana; só para conversão informativa</t>
        </is>
      </c>
    </row>
    <row r="3">
      <c r="A3" s="3" t="inlineStr">
        <is>
          <t>% depósito antecipado</t>
        </is>
      </c>
      <c r="B3" s="9" t="n">
        <v>0.3</v>
      </c>
      <c r="C3" s="8" t="inlineStr">
        <is>
          <t>Cobrado no link de pagamento ao confirmar o pedido</t>
        </is>
      </c>
    </row>
    <row r="4">
      <c r="A4" s="3" t="inlineStr">
        <is>
          <t>% crédito do Capitão</t>
        </is>
      </c>
      <c r="B4" s="9" t="n">
        <v>0.05</v>
      </c>
      <c r="C4" s="8" t="inlineStr">
        <is>
          <t>Sobre o total dos pedidos indicados; pago em crédito, nunca dinheiro</t>
        </is>
      </c>
    </row>
    <row r="5">
      <c r="A5" s="3" t="inlineStr">
        <is>
          <t>Janela de fechamento (horas antes do ETA)</t>
        </is>
      </c>
      <c r="B5" s="10" t="n">
        <v>26</v>
      </c>
      <c r="C5" s="8" t="inlineStr">
        <is>
          <t>Pedido fecha 26h antes da atracação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5" customWidth="1" min="3" max="3"/>
    <col width="26" customWidth="1" min="4" max="4"/>
    <col width="12" customWidth="1" min="5" max="5"/>
    <col width="12" customWidth="1" min="6" max="6"/>
    <col width="10" customWidth="1" min="7" max="7"/>
    <col width="11" customWidth="1" min="8" max="8"/>
  </cols>
  <sheetData>
    <row r="1">
      <c r="A1" s="6" t="inlineStr">
        <is>
          <t>Cód</t>
        </is>
      </c>
      <c r="B1" s="6" t="inlineStr">
        <is>
          <t>Item</t>
        </is>
      </c>
      <c r="C1" s="6" t="inlineStr">
        <is>
          <t>Categoria</t>
        </is>
      </c>
      <c r="D1" s="6" t="inlineStr">
        <is>
          <t>Fornecedor</t>
        </is>
      </c>
      <c r="E1" s="6" t="inlineStr">
        <is>
          <t>Custo (USD)</t>
        </is>
      </c>
      <c r="F1" s="6" t="inlineStr">
        <is>
          <t>Preço (USD)</t>
        </is>
      </c>
      <c r="G1" s="6" t="inlineStr">
        <is>
          <t>Margem %</t>
        </is>
      </c>
      <c r="H1" s="6" t="inlineStr">
        <is>
          <t>Preço ≈R$</t>
        </is>
      </c>
    </row>
    <row r="2">
      <c r="A2" s="11" t="inlineStr">
        <is>
          <t>SIM20</t>
        </is>
      </c>
      <c r="B2" s="11" t="inlineStr">
        <is>
          <t>eSIM Brasil 20 GB / 30d</t>
        </is>
      </c>
      <c r="C2" s="11" t="inlineStr">
        <is>
          <t>Conectividade</t>
        </is>
      </c>
      <c r="D2" s="11" t="inlineStr">
        <is>
          <t>eSIM white-label</t>
        </is>
      </c>
      <c r="E2" s="12" t="n">
        <v>8.5</v>
      </c>
      <c r="F2" s="12" t="n">
        <v>18</v>
      </c>
      <c r="G2" s="13">
        <f>(F2-E2)/F2</f>
        <v/>
      </c>
      <c r="H2" s="14">
        <f>F2*Config!$B$2</f>
        <v/>
      </c>
    </row>
    <row r="3">
      <c r="A3" s="11" t="inlineStr">
        <is>
          <t>SIM50</t>
        </is>
      </c>
      <c r="B3" s="11" t="inlineStr">
        <is>
          <t>eSIM Brasil 50 GB / 30d</t>
        </is>
      </c>
      <c r="C3" s="11" t="inlineStr">
        <is>
          <t>Conectividade</t>
        </is>
      </c>
      <c r="D3" s="11" t="inlineStr">
        <is>
          <t>eSIM white-label</t>
        </is>
      </c>
      <c r="E3" s="12" t="n">
        <v>15</v>
      </c>
      <c r="F3" s="12" t="n">
        <v>32</v>
      </c>
      <c r="G3" s="13">
        <f>(F3-E3)/F3</f>
        <v/>
      </c>
      <c r="H3" s="14">
        <f>F3*Config!$B$2</f>
        <v/>
      </c>
    </row>
    <row r="4">
      <c r="A4" s="11" t="inlineStr">
        <is>
          <t>SNK1</t>
        </is>
      </c>
      <c r="B4" s="11" t="inlineStr">
        <is>
          <t>Snack kit grande</t>
        </is>
      </c>
      <c r="C4" s="11" t="inlineStr">
        <is>
          <t>Comida</t>
        </is>
      </c>
      <c r="D4" s="11" t="inlineStr">
        <is>
          <t>Atacado (Assaí)</t>
        </is>
      </c>
      <c r="E4" s="12" t="n">
        <v>13</v>
      </c>
      <c r="F4" s="12" t="n">
        <v>25</v>
      </c>
      <c r="G4" s="13">
        <f>(F4-E4)/F4</f>
        <v/>
      </c>
      <c r="H4" s="14">
        <f>F4*Config!$B$2</f>
        <v/>
      </c>
    </row>
    <row r="5">
      <c r="A5" s="11" t="inlineStr">
        <is>
          <t>CAF1</t>
        </is>
      </c>
      <c r="B5" s="11" t="inlineStr">
        <is>
          <t>Kit café brasileiro 500g</t>
        </is>
      </c>
      <c r="C5" s="11" t="inlineStr">
        <is>
          <t>Comida</t>
        </is>
      </c>
      <c r="D5" s="11" t="inlineStr">
        <is>
          <t>Atacado (Assaí)</t>
        </is>
      </c>
      <c r="E5" s="12" t="n">
        <v>9</v>
      </c>
      <c r="F5" s="12" t="n">
        <v>18</v>
      </c>
      <c r="G5" s="13">
        <f>(F5-E5)/F5</f>
        <v/>
      </c>
      <c r="H5" s="14">
        <f>F5*Config!$B$2</f>
        <v/>
      </c>
    </row>
    <row r="6">
      <c r="A6" s="11" t="inlineStr">
        <is>
          <t>BEB1</t>
        </is>
      </c>
      <c r="B6" s="11" t="inlineStr">
        <is>
          <t>Drinks pack 12 latas (s/ álcool)</t>
        </is>
      </c>
      <c r="C6" s="11" t="inlineStr">
        <is>
          <t>Comida</t>
        </is>
      </c>
      <c r="D6" s="11" t="inlineStr">
        <is>
          <t>Atacado (Assaí)</t>
        </is>
      </c>
      <c r="E6" s="12" t="n">
        <v>8</v>
      </c>
      <c r="F6" s="12" t="n">
        <v>16</v>
      </c>
      <c r="G6" s="13">
        <f>(F6-E6)/F6</f>
        <v/>
      </c>
      <c r="H6" s="14">
        <f>F6*Config!$B$2</f>
        <v/>
      </c>
    </row>
    <row r="7">
      <c r="A7" s="11" t="inlineStr">
        <is>
          <t>HIG1</t>
        </is>
      </c>
      <c r="B7" s="11" t="inlineStr">
        <is>
          <t>Kit higiene completo</t>
        </is>
      </c>
      <c r="C7" s="11" t="inlineStr">
        <is>
          <t>Cuidado</t>
        </is>
      </c>
      <c r="D7" s="11" t="inlineStr">
        <is>
          <t>Farmácia parceira</t>
        </is>
      </c>
      <c r="E7" s="12" t="n">
        <v>11</v>
      </c>
      <c r="F7" s="12" t="n">
        <v>22</v>
      </c>
      <c r="G7" s="13">
        <f>(F7-E7)/F7</f>
        <v/>
      </c>
      <c r="H7" s="14">
        <f>F7*Config!$B$2</f>
        <v/>
      </c>
    </row>
    <row r="8">
      <c r="A8" s="11" t="inlineStr">
        <is>
          <t>FAR1</t>
        </is>
      </c>
      <c r="B8" s="11" t="inlineStr">
        <is>
          <t>Farmácia básica de bordo</t>
        </is>
      </c>
      <c r="C8" s="11" t="inlineStr">
        <is>
          <t>Cuidado</t>
        </is>
      </c>
      <c r="D8" s="11" t="inlineStr">
        <is>
          <t>Farmácia parceira</t>
        </is>
      </c>
      <c r="E8" s="12" t="n">
        <v>9.5</v>
      </c>
      <c r="F8" s="12" t="n">
        <v>19</v>
      </c>
      <c r="G8" s="13">
        <f>(F8-E8)/F8</f>
        <v/>
      </c>
      <c r="H8" s="14">
        <f>F8*Config!$B$2</f>
        <v/>
      </c>
    </row>
    <row r="9">
      <c r="A9" s="11" t="inlineStr">
        <is>
          <t>SOL1</t>
        </is>
      </c>
      <c r="B9" s="11" t="inlineStr">
        <is>
          <t>Deck kit (protetor FPS50 + boné)</t>
        </is>
      </c>
      <c r="C9" s="11" t="inlineStr">
        <is>
          <t>Cuidado</t>
        </is>
      </c>
      <c r="D9" s="11" t="inlineStr">
        <is>
          <t>Farmácia parceira</t>
        </is>
      </c>
      <c r="E9" s="12" t="n">
        <v>10.5</v>
      </c>
      <c r="F9" s="12" t="n">
        <v>21</v>
      </c>
      <c r="G9" s="13">
        <f>(F9-E9)/F9</f>
        <v/>
      </c>
      <c r="H9" s="14">
        <f>F9*Config!$B$2</f>
        <v/>
      </c>
    </row>
    <row r="10">
      <c r="A10" s="11" t="inlineStr">
        <is>
          <t>JBL1</t>
        </is>
      </c>
      <c r="B10" s="11" t="inlineStr">
        <is>
          <t>JBL Go 4 (lacrada + NF)</t>
        </is>
      </c>
      <c r="C10" s="11" t="inlineStr">
        <is>
          <t>Eletrônico</t>
        </is>
      </c>
      <c r="D10" s="11" t="inlineStr">
        <is>
          <t>Distribuidor oficial</t>
        </is>
      </c>
      <c r="E10" s="12" t="n">
        <v>32</v>
      </c>
      <c r="F10" s="12" t="n">
        <v>45</v>
      </c>
      <c r="G10" s="13">
        <f>(F10-E10)/F10</f>
        <v/>
      </c>
      <c r="H10" s="14">
        <f>F10*Config!$B$2</f>
        <v/>
      </c>
    </row>
    <row r="11">
      <c r="A11" s="11" t="inlineStr">
        <is>
          <t>POW1</t>
        </is>
      </c>
      <c r="B11" s="11" t="inlineStr">
        <is>
          <t>Powerbank 20.000 mAh</t>
        </is>
      </c>
      <c r="C11" s="11" t="inlineStr">
        <is>
          <t>Eletrônico</t>
        </is>
      </c>
      <c r="D11" s="11" t="inlineStr">
        <is>
          <t>Distribuidor oficial</t>
        </is>
      </c>
      <c r="E11" s="12" t="n">
        <v>18</v>
      </c>
      <c r="F11" s="12" t="n">
        <v>29</v>
      </c>
      <c r="G11" s="13">
        <f>(F11-E11)/F11</f>
        <v/>
      </c>
      <c r="H11" s="14">
        <f>F11*Config!$B$2</f>
        <v/>
      </c>
    </row>
    <row r="12">
      <c r="A12" s="11" t="inlineStr">
        <is>
          <t>CAB1</t>
        </is>
      </c>
      <c r="B12" s="11" t="inlineStr">
        <is>
          <t>Kit cabos + adaptador BR</t>
        </is>
      </c>
      <c r="C12" s="11" t="inlineStr">
        <is>
          <t>Eletrônico</t>
        </is>
      </c>
      <c r="D12" s="11" t="inlineStr">
        <is>
          <t>Distribuidor oficial</t>
        </is>
      </c>
      <c r="E12" s="12" t="n">
        <v>7</v>
      </c>
      <c r="F12" s="12" t="n">
        <v>15</v>
      </c>
      <c r="G12" s="13">
        <f>(F12-E12)/F12</f>
        <v/>
      </c>
      <c r="H12" s="14">
        <f>F12*Config!$B$2</f>
        <v/>
      </c>
    </row>
    <row r="13">
      <c r="A13" s="11" t="inlineStr">
        <is>
          <t>POK1</t>
        </is>
      </c>
      <c r="B13" s="11" t="inlineStr">
        <is>
          <t>Poker set compacto</t>
        </is>
      </c>
      <c r="C13" s="11" t="inlineStr">
        <is>
          <t>Eletrônico</t>
        </is>
      </c>
      <c r="D13" s="11" t="inlineStr">
        <is>
          <t>Distribuidor oficial</t>
        </is>
      </c>
      <c r="E13" s="12" t="n">
        <v>7.5</v>
      </c>
      <c r="F13" s="12" t="n">
        <v>14</v>
      </c>
      <c r="G13" s="13">
        <f>(F13-E13)/F13</f>
        <v/>
      </c>
      <c r="H13" s="14">
        <f>F13*Config!$B$2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8" customWidth="1" min="4" max="4"/>
    <col width="8" customWidth="1" min="5" max="5"/>
    <col width="18" customWidth="1" min="6" max="6"/>
    <col width="14" customWidth="1" min="7" max="7"/>
  </cols>
  <sheetData>
    <row r="1">
      <c r="A1" s="6" t="inlineStr">
        <is>
          <t>Navio</t>
        </is>
      </c>
      <c r="B1" s="6" t="inlineStr">
        <is>
          <t>Linha/Armadora</t>
        </is>
      </c>
      <c r="C1" s="6" t="inlineStr">
        <is>
          <t>Agência</t>
        </is>
      </c>
      <c r="D1" s="6" t="inlineStr">
        <is>
          <t>ETA (data e hora)</t>
        </is>
      </c>
      <c r="E1" s="6" t="inlineStr">
        <is>
          <t>Berço</t>
        </is>
      </c>
      <c r="F1" s="6" t="inlineStr">
        <is>
          <t>Pedidos fecham em</t>
        </is>
      </c>
      <c r="G1" s="6" t="inlineStr">
        <is>
          <t>Status</t>
        </is>
      </c>
    </row>
    <row r="2">
      <c r="A2" s="15" t="inlineStr">
        <is>
          <t>MSC LORENA</t>
        </is>
      </c>
      <c r="B2" s="15" t="inlineStr">
        <is>
          <t>MSC — Ásia/ECSA</t>
        </is>
      </c>
      <c r="C2" s="15" t="inlineStr">
        <is>
          <t>Wilson Sons</t>
        </is>
      </c>
      <c r="D2" s="16" t="n">
        <v>46258.59722222222</v>
      </c>
      <c r="E2" s="15" t="n">
        <v>39</v>
      </c>
      <c r="F2" s="17">
        <f>IF(D2="","",D2-Config!$B$5/24)</f>
        <v/>
      </c>
      <c r="G2" s="15" t="inlineStr">
        <is>
          <t>Aguardando</t>
        </is>
      </c>
    </row>
    <row r="3">
      <c r="A3" s="15" t="inlineStr">
        <is>
          <t>CMA CGM MELODY</t>
        </is>
      </c>
      <c r="B3" s="15" t="inlineStr">
        <is>
          <t>CMA — Med/ECSA</t>
        </is>
      </c>
      <c r="C3" s="15" t="inlineStr">
        <is>
          <t>Unimar</t>
        </is>
      </c>
      <c r="D3" s="16" t="n">
        <v>46259.33333333334</v>
      </c>
      <c r="E3" s="15" t="n">
        <v>33</v>
      </c>
      <c r="F3" s="17">
        <f>IF(D3="","",D3-Config!$B$5/24)</f>
        <v/>
      </c>
      <c r="G3" s="15" t="inlineStr">
        <is>
          <t>Aguardando</t>
        </is>
      </c>
    </row>
  </sheetData>
  <dataValidations count="1">
    <dataValidation sqref="G2 G3" showDropDown="0" showInputMessage="0" showErrorMessage="0" allowBlank="1" type="list">
      <formula1>"Aguardando,Atracado,Zarpou,Cancelado"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14" customWidth="1" min="4" max="4"/>
    <col width="20" customWidth="1" min="5" max="5"/>
    <col width="26" customWidth="1" min="6" max="6"/>
    <col width="11" customWidth="1" min="7" max="7"/>
    <col width="13" customWidth="1" min="8" max="8"/>
    <col width="15" customWidth="1" min="9" max="9"/>
    <col width="13" customWidth="1" min="10" max="10"/>
    <col width="10" customWidth="1" min="11" max="11"/>
    <col width="11" customWidth="1" min="12" max="12"/>
    <col width="12" customWidth="1" min="13" max="13"/>
  </cols>
  <sheetData>
    <row r="1">
      <c r="A1" s="6" t="inlineStr">
        <is>
          <t>Nº</t>
        </is>
      </c>
      <c r="B1" s="6" t="inlineStr">
        <is>
          <t>Data</t>
        </is>
      </c>
      <c r="C1" s="6" t="inlineStr">
        <is>
          <t>Navio</t>
        </is>
      </c>
      <c r="D1" s="6" t="inlineStr">
        <is>
          <t>Cód. Capitão</t>
        </is>
      </c>
      <c r="E1" s="6" t="inlineStr">
        <is>
          <t>Cliente (nome/rank)</t>
        </is>
      </c>
      <c r="F1" s="6" t="inlineStr">
        <is>
          <t>Itens (códigos e qtd)</t>
        </is>
      </c>
      <c r="G1" s="6" t="inlineStr">
        <is>
          <t>Total (USD)</t>
        </is>
      </c>
      <c r="H1" s="6" t="inlineStr">
        <is>
          <t>Depósito (USD)</t>
        </is>
      </c>
      <c r="I1" s="6" t="inlineStr">
        <is>
          <t>Saldo prancha (USD)</t>
        </is>
      </c>
      <c r="J1" s="6" t="inlineStr">
        <is>
          <t>Status</t>
        </is>
      </c>
      <c r="K1" s="6" t="inlineStr">
        <is>
          <t>Dep. pago?</t>
        </is>
      </c>
      <c r="L1" s="6" t="inlineStr">
        <is>
          <t>Saldo pago?</t>
        </is>
      </c>
      <c r="M1" s="6" t="inlineStr">
        <is>
          <t>Foto entrega?</t>
        </is>
      </c>
    </row>
    <row r="2">
      <c r="A2" s="15" t="inlineStr">
        <is>
          <t>MS-0001</t>
        </is>
      </c>
      <c r="B2" s="15" t="inlineStr">
        <is>
          <t>2026-08-22</t>
        </is>
      </c>
      <c r="C2" s="15" t="inlineStr">
        <is>
          <t>MSC LORENA</t>
        </is>
      </c>
      <c r="D2" s="15" t="inlineStr">
        <is>
          <t>MS-ANDRES-39</t>
        </is>
      </c>
      <c r="E2" s="15" t="inlineStr">
        <is>
          <t>Andres (Bosun)</t>
        </is>
      </c>
      <c r="F2" s="15" t="inlineStr">
        <is>
          <t>SIM20 x1, SNK1 x1, JBL1 x1</t>
        </is>
      </c>
      <c r="G2" s="12" t="n">
        <v>88</v>
      </c>
      <c r="H2" s="18">
        <f>G2*Config!$B$3</f>
        <v/>
      </c>
      <c r="I2" s="18">
        <f>G2-H2</f>
        <v/>
      </c>
      <c r="J2" s="15" t="inlineStr">
        <is>
          <t>Comprando</t>
        </is>
      </c>
      <c r="K2" s="19" t="inlineStr">
        <is>
          <t>S</t>
        </is>
      </c>
      <c r="L2" s="19" t="inlineStr">
        <is>
          <t>N</t>
        </is>
      </c>
      <c r="M2" s="19" t="inlineStr">
        <is>
          <t>N</t>
        </is>
      </c>
    </row>
    <row r="3">
      <c r="A3" s="15" t="inlineStr">
        <is>
          <t>MS-0002</t>
        </is>
      </c>
      <c r="B3" s="15" t="inlineStr">
        <is>
          <t>2026-08-22</t>
        </is>
      </c>
      <c r="C3" s="15" t="inlineStr">
        <is>
          <t>MSC LORENA</t>
        </is>
      </c>
      <c r="D3" s="15" t="inlineStr">
        <is>
          <t>MS-ANDRES-39</t>
        </is>
      </c>
      <c r="E3" s="15" t="inlineStr">
        <is>
          <t>Pedido coletivo (6 trip.)</t>
        </is>
      </c>
      <c r="F3" s="15" t="inlineStr">
        <is>
          <t>SNK1 x4, CAF1 x2, HIG1 x2</t>
        </is>
      </c>
      <c r="G3" s="12" t="n">
        <v>180</v>
      </c>
      <c r="H3" s="18">
        <f>G3*Config!$B$3</f>
        <v/>
      </c>
      <c r="I3" s="18">
        <f>G3-H3</f>
        <v/>
      </c>
      <c r="J3" s="15" t="inlineStr">
        <is>
          <t>Novo</t>
        </is>
      </c>
      <c r="K3" s="19" t="inlineStr">
        <is>
          <t>S</t>
        </is>
      </c>
      <c r="L3" s="19" t="inlineStr">
        <is>
          <t>N</t>
        </is>
      </c>
      <c r="M3" s="19" t="inlineStr">
        <is>
          <t>N</t>
        </is>
      </c>
    </row>
    <row r="4">
      <c r="A4" s="15" t="inlineStr">
        <is>
          <t>MS-0003</t>
        </is>
      </c>
      <c r="B4" s="15" t="inlineStr">
        <is>
          <t>2026-08-23</t>
        </is>
      </c>
      <c r="C4" s="15" t="inlineStr">
        <is>
          <t>CMA CGM MELODY</t>
        </is>
      </c>
      <c r="D4" s="15" t="inlineStr"/>
      <c r="E4" s="15" t="inlineStr">
        <is>
          <t>Cook</t>
        </is>
      </c>
      <c r="F4" s="15" t="inlineStr">
        <is>
          <t>SIM50 x2, BEB1 x3</t>
        </is>
      </c>
      <c r="G4" s="12" t="n">
        <v>112</v>
      </c>
      <c r="H4" s="18">
        <f>G4*Config!$B$3</f>
        <v/>
      </c>
      <c r="I4" s="18">
        <f>G4-H4</f>
        <v/>
      </c>
      <c r="J4" s="15" t="inlineStr">
        <is>
          <t>Novo</t>
        </is>
      </c>
      <c r="K4" s="19" t="inlineStr">
        <is>
          <t>N</t>
        </is>
      </c>
      <c r="L4" s="19" t="inlineStr">
        <is>
          <t>N</t>
        </is>
      </c>
      <c r="M4" s="19" t="inlineStr">
        <is>
          <t>N</t>
        </is>
      </c>
    </row>
  </sheetData>
  <dataValidations count="2">
    <dataValidation sqref="J2 J3 J4" showDropDown="0" showInputMessage="0" showErrorMessage="0" allowBlank="1" type="list">
      <formula1>"Novo,Comprando,Separado,Na prancha,Entregue,Cancelado"</formula1>
    </dataValidation>
    <dataValidation sqref="K2 K3 K4 L2 L3 L4 M2 M3 M4" showDropDown="0" showInputMessage="0" showErrorMessage="0" allowBlank="1" type="list">
      <formula1>"S,N"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6" customWidth="1" min="4" max="4"/>
    <col width="17" customWidth="1" min="5" max="5"/>
    <col width="17" customWidth="1" min="6" max="6"/>
    <col width="17" customWidth="1" min="7" max="7"/>
    <col width="16" customWidth="1" min="8" max="8"/>
  </cols>
  <sheetData>
    <row r="1">
      <c r="A1" s="6" t="inlineStr">
        <is>
          <t>Código</t>
        </is>
      </c>
      <c r="B1" s="6" t="inlineStr">
        <is>
          <t>Nome</t>
        </is>
      </c>
      <c r="C1" s="6" t="inlineStr">
        <is>
          <t>Navio / Linha</t>
        </is>
      </c>
      <c r="D1" s="6" t="inlineStr">
        <is>
          <t>Pedidos indicados</t>
        </is>
      </c>
      <c r="E1" s="6" t="inlineStr">
        <is>
          <t>GMV indicado (USD)</t>
        </is>
      </c>
      <c r="F1" s="6" t="inlineStr">
        <is>
          <t>Crédito ganho (USD)</t>
        </is>
      </c>
      <c r="G1" s="6" t="inlineStr">
        <is>
          <t>Crédito usado (USD)</t>
        </is>
      </c>
      <c r="H1" s="6" t="inlineStr">
        <is>
          <t>Saldo crédito (USD)</t>
        </is>
      </c>
    </row>
    <row r="2">
      <c r="A2" s="15" t="inlineStr">
        <is>
          <t>MS-ANDRES-39</t>
        </is>
      </c>
      <c r="B2" s="15" t="inlineStr">
        <is>
          <t>Andres Reyes</t>
        </is>
      </c>
      <c r="C2" s="15" t="inlineStr">
        <is>
          <t>MSC LORENA / Ásia-ECSA</t>
        </is>
      </c>
      <c r="D2" s="20">
        <f>COUNTIF(Pedidos!D:D,A2)</f>
        <v/>
      </c>
      <c r="E2" s="18">
        <f>SUMIF(Pedidos!D:D,A2,Pedidos!G:G)</f>
        <v/>
      </c>
      <c r="F2" s="18">
        <f>E2*Config!$B$4</f>
        <v/>
      </c>
      <c r="G2" s="12" t="n">
        <v>0</v>
      </c>
      <c r="H2" s="18">
        <f>F2-G2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4" customWidth="1" min="3" max="3"/>
    <col width="12" customWidth="1" min="4" max="4"/>
    <col width="12" customWidth="1" min="5" max="5"/>
    <col width="18" customWidth="1" min="6" max="6"/>
  </cols>
  <sheetData>
    <row r="1">
      <c r="A1" s="6" t="inlineStr">
        <is>
          <t>Data</t>
        </is>
      </c>
      <c r="B1" s="6" t="inlineStr">
        <is>
          <t>Tipo</t>
        </is>
      </c>
      <c r="C1" s="6" t="inlineStr">
        <is>
          <t>Descrição</t>
        </is>
      </c>
      <c r="D1" s="6" t="inlineStr">
        <is>
          <t>Valor (USD)</t>
        </is>
      </c>
      <c r="E1" s="6" t="inlineStr">
        <is>
          <t>Valor (≈R$)</t>
        </is>
      </c>
      <c r="F1" s="6" t="inlineStr">
        <is>
          <t>Saldo acumulado (USD)</t>
        </is>
      </c>
    </row>
    <row r="2">
      <c r="A2" s="15" t="inlineStr">
        <is>
          <t>2026-08-22</t>
        </is>
      </c>
      <c r="B2" s="15" t="inlineStr">
        <is>
          <t>Depósito recebido</t>
        </is>
      </c>
      <c r="C2" s="15" t="inlineStr">
        <is>
          <t>MS-0001 — 30% via link</t>
        </is>
      </c>
      <c r="D2" s="21" t="n">
        <v>26.4</v>
      </c>
      <c r="E2" s="22">
        <f>D2*Config!$B$2</f>
        <v/>
      </c>
      <c r="F2" s="23">
        <f>SUM($D$2:D2)</f>
        <v/>
      </c>
    </row>
    <row r="3">
      <c r="A3" s="15" t="inlineStr">
        <is>
          <t>2026-08-23</t>
        </is>
      </c>
      <c r="B3" s="15" t="inlineStr">
        <is>
          <t>Compra mercadoria</t>
        </is>
      </c>
      <c r="C3" s="15" t="inlineStr">
        <is>
          <t>Assaí — snacks e café (NF 1234)</t>
        </is>
      </c>
      <c r="D3" s="21" t="n">
        <v>-34</v>
      </c>
      <c r="E3" s="22">
        <f>D3*Config!$B$2</f>
        <v/>
      </c>
      <c r="F3" s="23">
        <f>SUM($D$2:D3)</f>
        <v/>
      </c>
    </row>
  </sheetData>
  <dataValidations count="1">
    <dataValidation sqref="B2 B3" showDropDown="0" showInputMessage="0" showErrorMessage="0" allowBlank="1" type="list">
      <formula1>"Depósito recebido,Saldo recebido,Compra mercadoria,Entrega/transporte,Comissão agência,Outros"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2026-08-21T21:32:48Z</dcterms:created>
  <dcterms:modified xmlns:dcterms="http://purl.org/dc/terms/" xmlns:xsi="http://www.w3.org/2001/XMLSchema-instance" xsi:type="dcterms:W3CDTF">2026-08-21T21:32:48Z</dcterms:modified>
</cp:coreProperties>
</file>